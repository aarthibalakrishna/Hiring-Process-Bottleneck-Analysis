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_Pipeline" sheetId="1" state="visible" r:id="rId3"/>
    <sheet name="Stage_Summary" sheetId="2" state="visible" r:id="rId4"/>
    <sheet name="Dropoff_Analysis" sheetId="3" state="visible" r:id="rId5"/>
    <sheet name="Read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<sst xmlns="http://schemas.openxmlformats.org/spreadsheetml/2006/main" count="251" uniqueCount="113">
  <si>
    <t xml:space="preserve">Candidate_ID</t>
  </si>
  <si>
    <t xml:space="preserve">Job_Role</t>
  </si>
  <si>
    <t xml:space="preserve">Department</t>
  </si>
  <si>
    <t xml:space="preserve">Application_Date</t>
  </si>
  <si>
    <t xml:space="preserve">Screening_Date</t>
  </si>
  <si>
    <t xml:space="preserve">Interview_1_Date</t>
  </si>
  <si>
    <t xml:space="preserve">Interview_2_Date</t>
  </si>
  <si>
    <t xml:space="preserve">Offer_Date</t>
  </si>
  <si>
    <t xml:space="preserve">Joining_Date</t>
  </si>
  <si>
    <t xml:space="preserve">Final_Status</t>
  </si>
  <si>
    <t xml:space="preserve">Days_App_to_Screen</t>
  </si>
  <si>
    <t xml:space="preserve">Days_Screen_to_Int1</t>
  </si>
  <si>
    <t xml:space="preserve">Days_Int1_to_Int2</t>
  </si>
  <si>
    <t xml:space="preserve">Days_Int2_to_Offer</t>
  </si>
  <si>
    <t xml:space="preserve">Days_Offer_to_Join</t>
  </si>
  <si>
    <t xml:space="preserve">Total_Days</t>
  </si>
  <si>
    <t xml:space="preserve">CAN-001</t>
  </si>
  <si>
    <t xml:space="preserve">Junior Operations Analyst</t>
  </si>
  <si>
    <t xml:space="preserve">Operations</t>
  </si>
  <si>
    <t xml:space="preserve">Withdrew</t>
  </si>
  <si>
    <t xml:space="preserve">CAN-002</t>
  </si>
  <si>
    <t xml:space="preserve">Hired</t>
  </si>
  <si>
    <t xml:space="preserve">CAN-003</t>
  </si>
  <si>
    <t xml:space="preserve">Rejected</t>
  </si>
  <si>
    <t xml:space="preserve">CAN-004</t>
  </si>
  <si>
    <t xml:space="preserve">CAN-005</t>
  </si>
  <si>
    <t xml:space="preserve">Data Analyst</t>
  </si>
  <si>
    <t xml:space="preserve">Analytics</t>
  </si>
  <si>
    <t xml:space="preserve">CAN-006</t>
  </si>
  <si>
    <t xml:space="preserve">CAN-007</t>
  </si>
  <si>
    <t xml:space="preserve">CAN-008</t>
  </si>
  <si>
    <t xml:space="preserve">CAN-009</t>
  </si>
  <si>
    <t xml:space="preserve">CAN-010</t>
  </si>
  <si>
    <t xml:space="preserve">CAN-011</t>
  </si>
  <si>
    <t xml:space="preserve">Recruiter</t>
  </si>
  <si>
    <t xml:space="preserve">Talent Acquisition</t>
  </si>
  <si>
    <t xml:space="preserve">Offer Declined</t>
  </si>
  <si>
    <t xml:space="preserve">CAN-012</t>
  </si>
  <si>
    <t xml:space="preserve">CAN-013</t>
  </si>
  <si>
    <t xml:space="preserve">CAN-014</t>
  </si>
  <si>
    <t xml:space="preserve">HR Coordinator</t>
  </si>
  <si>
    <t xml:space="preserve">Human Resources</t>
  </si>
  <si>
    <t xml:space="preserve">CAN-015</t>
  </si>
  <si>
    <t xml:space="preserve">CAN-016</t>
  </si>
  <si>
    <t xml:space="preserve">CAN-017</t>
  </si>
  <si>
    <t xml:space="preserve">CAN-018</t>
  </si>
  <si>
    <t xml:space="preserve">CAN-019</t>
  </si>
  <si>
    <t xml:space="preserve">In Progress</t>
  </si>
  <si>
    <t xml:space="preserve">CAN-020</t>
  </si>
  <si>
    <t xml:space="preserve">CAN-021</t>
  </si>
  <si>
    <t xml:space="preserve">CAN-022</t>
  </si>
  <si>
    <t xml:space="preserve">CAN-023</t>
  </si>
  <si>
    <t xml:space="preserve">CAN-024</t>
  </si>
  <si>
    <t xml:space="preserve">CAN-025</t>
  </si>
  <si>
    <t xml:space="preserve">CAN-026</t>
  </si>
  <si>
    <t xml:space="preserve">CAN-027</t>
  </si>
  <si>
    <t xml:space="preserve">CAN-028</t>
  </si>
  <si>
    <t xml:space="preserve">CAN-029</t>
  </si>
  <si>
    <t xml:space="preserve">CAN-030</t>
  </si>
  <si>
    <t xml:space="preserve">CAN-031</t>
  </si>
  <si>
    <t xml:space="preserve">CAN-032</t>
  </si>
  <si>
    <t xml:space="preserve">CAN-033</t>
  </si>
  <si>
    <t xml:space="preserve">CAN-034</t>
  </si>
  <si>
    <t xml:space="preserve">CAN-035</t>
  </si>
  <si>
    <t xml:space="preserve">CAN-036</t>
  </si>
  <si>
    <t xml:space="preserve">CAN-037</t>
  </si>
  <si>
    <t xml:space="preserve">CAN-038</t>
  </si>
  <si>
    <t xml:space="preserve">CAN-039</t>
  </si>
  <si>
    <t xml:space="preserve">CAN-040</t>
  </si>
  <si>
    <t xml:space="preserve">CAN-041</t>
  </si>
  <si>
    <t xml:space="preserve">CAN-042</t>
  </si>
  <si>
    <t xml:space="preserve">CAN-043</t>
  </si>
  <si>
    <t xml:space="preserve">CAN-044</t>
  </si>
  <si>
    <t xml:space="preserve">CAN-045</t>
  </si>
  <si>
    <t xml:space="preserve">CAN-046</t>
  </si>
  <si>
    <t xml:space="preserve">CAN-047</t>
  </si>
  <si>
    <t xml:space="preserve">CAN-048</t>
  </si>
  <si>
    <t xml:space="preserve">CAN-049</t>
  </si>
  <si>
    <t xml:space="preserve">CAN-050</t>
  </si>
  <si>
    <t xml:space="preserve">Stage</t>
  </si>
  <si>
    <t xml:space="preserve">Avg Days Taken</t>
  </si>
  <si>
    <t xml:space="preserve">Benchmark (Days)</t>
  </si>
  <si>
    <t xml:space="preserve">Variance</t>
  </si>
  <si>
    <t xml:space="preserve">Status</t>
  </si>
  <si>
    <t xml:space="preserve">Application → Screening</t>
  </si>
  <si>
    <t xml:space="preserve">Screening → Interview 1</t>
  </si>
  <si>
    <t xml:space="preserve">Interview 1 → Interview 2</t>
  </si>
  <si>
    <t xml:space="preserve">Interview 2 → Offer</t>
  </si>
  <si>
    <t xml:space="preserve">Offer → Joining</t>
  </si>
  <si>
    <t xml:space="preserve">Candidates Entered</t>
  </si>
  <si>
    <t xml:space="preserve">Candidates Passed</t>
  </si>
  <si>
    <t xml:space="preserve">Drop-off Count</t>
  </si>
  <si>
    <t xml:space="preserve">Conversion Rate (%)</t>
  </si>
  <si>
    <t xml:space="preserve">Applied</t>
  </si>
  <si>
    <t xml:space="preserve">Screened</t>
  </si>
  <si>
    <t xml:space="preserve">Interview 1</t>
  </si>
  <si>
    <t xml:space="preserve">Interview 2</t>
  </si>
  <si>
    <t xml:space="preserve">Offer Extended</t>
  </si>
  <si>
    <t xml:space="preserve">Joined</t>
  </si>
  <si>
    <t xml:space="preserve">📋 Dataset Guide — Hiring Process Bottleneck Analysis</t>
  </si>
  <si>
    <t xml:space="preserve">Sheet</t>
  </si>
  <si>
    <t xml:space="preserve">Description</t>
  </si>
  <si>
    <t xml:space="preserve">Candidate_Pipeline</t>
  </si>
  <si>
    <t xml:space="preserve">Raw data: 50 candidates across 4 roles with date &amp; day data per stage</t>
  </si>
  <si>
    <t xml:space="preserve">Stage_Summary</t>
  </si>
  <si>
    <t xml:space="preserve">Avg days per stage vs benchmark — bottleneck flagged automatically</t>
  </si>
  <si>
    <t xml:space="preserve">Dropoff_Analysis</t>
  </si>
  <si>
    <t xml:space="preserve">Funnel conversion rates showing where candidates drop off</t>
  </si>
  <si>
    <t xml:space="preserve">ReadMe</t>
  </si>
  <si>
    <t xml:space="preserve">This guide</t>
  </si>
  <si>
    <t xml:space="preserve">⚠️  Key Insight to Explore:</t>
  </si>
  <si>
    <t xml:space="preserve">The 'Application → Screening' stage has the highest average delay (8–20 days vs 5-day benchmark).</t>
  </si>
  <si>
    <t xml:space="preserve">Use the Stage_Summary sheet and Python/Power BI to visualise and root-cause this bottleneck.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</si>
</sst>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2FB"/>
        <bgColor rgb="FFFFFFFF"/>
      </patternFill>
    </fill>
    <fill>
      <patternFill patternType="solid">
        <fgColor rgb="FFFFFFFF"/>
        <bgColor rgb="FFEAF2FB"/>
      </patternFill>
    </fill>
    <fill>
      <patternFill patternType="solid">
        <fgColor rgb="FFFFDCE1"/>
        <bgColor rgb="FFEAF2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2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C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7" min="6" style="0" width="18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5" min="13" style="0" width="18"/>
    <col collapsed="false" customWidth="true" hidden="false" outlineLevel="0" max="16" min="16" style="0" width="1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3" t="n">
        <v>45297</v>
      </c>
      <c r="E2" s="3" t="n">
        <v>45316</v>
      </c>
      <c r="F2" s="3" t="n">
        <v>45321</v>
      </c>
      <c r="G2" s="2"/>
      <c r="H2" s="2"/>
      <c r="I2" s="2"/>
      <c r="J2" s="2" t="s">
        <v>19</v>
      </c>
      <c r="K2" s="2" t="n">
        <v>19</v>
      </c>
      <c r="L2" s="2" t="n">
        <v>5</v>
      </c>
      <c r="M2" s="2"/>
      <c r="N2" s="2"/>
      <c r="O2" s="2"/>
      <c r="P2" s="2" t="n">
        <v>24</v>
      </c>
    </row>
    <row r="3" customFormat="false" ht="15" hidden="false" customHeight="false" outlineLevel="0" collapsed="false">
      <c r="A3" s="4" t="s">
        <v>20</v>
      </c>
      <c r="B3" s="4" t="s">
        <v>17</v>
      </c>
      <c r="C3" s="4" t="s">
        <v>18</v>
      </c>
      <c r="D3" s="5" t="n">
        <v>45333</v>
      </c>
      <c r="E3" s="5" t="n">
        <v>45347</v>
      </c>
      <c r="F3" s="5" t="n">
        <v>45350</v>
      </c>
      <c r="G3" s="5" t="n">
        <v>45352</v>
      </c>
      <c r="H3" s="5" t="n">
        <v>45355</v>
      </c>
      <c r="I3" s="5" t="n">
        <v>45375</v>
      </c>
      <c r="J3" s="4" t="s">
        <v>21</v>
      </c>
      <c r="K3" s="4" t="n">
        <v>14</v>
      </c>
      <c r="L3" s="4" t="n">
        <v>3</v>
      </c>
      <c r="M3" s="4" t="n">
        <v>2</v>
      </c>
      <c r="N3" s="4" t="n">
        <v>3</v>
      </c>
      <c r="O3" s="4" t="n">
        <v>20</v>
      </c>
      <c r="P3" s="4" t="n">
        <v>42</v>
      </c>
    </row>
    <row r="4" customFormat="false" ht="15" hidden="false" customHeight="false" outlineLevel="0" collapsed="false">
      <c r="A4" s="2" t="s">
        <v>22</v>
      </c>
      <c r="B4" s="2" t="s">
        <v>17</v>
      </c>
      <c r="C4" s="2" t="s">
        <v>18</v>
      </c>
      <c r="D4" s="3" t="n">
        <v>45331</v>
      </c>
      <c r="E4" s="3" t="n">
        <v>45342</v>
      </c>
      <c r="F4" s="3" t="n">
        <v>45349</v>
      </c>
      <c r="G4" s="2"/>
      <c r="H4" s="2"/>
      <c r="I4" s="2"/>
      <c r="J4" s="2" t="s">
        <v>23</v>
      </c>
      <c r="K4" s="2" t="n">
        <v>11</v>
      </c>
      <c r="L4" s="2" t="n">
        <v>7</v>
      </c>
      <c r="M4" s="2"/>
      <c r="N4" s="2"/>
      <c r="O4" s="2"/>
      <c r="P4" s="2" t="n">
        <v>18</v>
      </c>
    </row>
    <row r="5" customFormat="false" ht="15" hidden="false" customHeight="false" outlineLevel="0" collapsed="false">
      <c r="A5" s="4" t="s">
        <v>24</v>
      </c>
      <c r="B5" s="4" t="s">
        <v>17</v>
      </c>
      <c r="C5" s="4" t="s">
        <v>18</v>
      </c>
      <c r="D5" s="5" t="n">
        <v>45344</v>
      </c>
      <c r="E5" s="5" t="n">
        <v>45364</v>
      </c>
      <c r="F5" s="5" t="n">
        <v>45368</v>
      </c>
      <c r="G5" s="5" t="n">
        <v>45373</v>
      </c>
      <c r="H5" s="5" t="n">
        <v>45378</v>
      </c>
      <c r="I5" s="5" t="n">
        <v>45400</v>
      </c>
      <c r="J5" s="4" t="s">
        <v>21</v>
      </c>
      <c r="K5" s="4" t="n">
        <v>20</v>
      </c>
      <c r="L5" s="4" t="n">
        <v>4</v>
      </c>
      <c r="M5" s="4" t="n">
        <v>5</v>
      </c>
      <c r="N5" s="4" t="n">
        <v>5</v>
      </c>
      <c r="O5" s="4" t="n">
        <v>22</v>
      </c>
      <c r="P5" s="4" t="n">
        <v>56</v>
      </c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27</v>
      </c>
      <c r="D6" s="3" t="n">
        <v>45302</v>
      </c>
      <c r="E6" s="3" t="n">
        <v>45311</v>
      </c>
      <c r="F6" s="3" t="n">
        <v>45317</v>
      </c>
      <c r="G6" s="2"/>
      <c r="H6" s="2"/>
      <c r="I6" s="2"/>
      <c r="J6" s="2" t="s">
        <v>23</v>
      </c>
      <c r="K6" s="2" t="n">
        <v>9</v>
      </c>
      <c r="L6" s="2" t="n">
        <v>6</v>
      </c>
      <c r="M6" s="2"/>
      <c r="N6" s="2"/>
      <c r="O6" s="2"/>
      <c r="P6" s="2" t="n">
        <v>15</v>
      </c>
    </row>
    <row r="7" customFormat="false" ht="15" hidden="false" customHeight="false" outlineLevel="0" collapsed="false">
      <c r="A7" s="4" t="s">
        <v>28</v>
      </c>
      <c r="B7" s="4" t="s">
        <v>17</v>
      </c>
      <c r="C7" s="4" t="s">
        <v>18</v>
      </c>
      <c r="D7" s="5" t="n">
        <v>45342</v>
      </c>
      <c r="E7" s="5" t="n">
        <v>45357</v>
      </c>
      <c r="F7" s="5" t="n">
        <v>45364</v>
      </c>
      <c r="G7" s="4"/>
      <c r="H7" s="4"/>
      <c r="I7" s="4"/>
      <c r="J7" s="4" t="s">
        <v>23</v>
      </c>
      <c r="K7" s="4" t="n">
        <v>15</v>
      </c>
      <c r="L7" s="4" t="n">
        <v>7</v>
      </c>
      <c r="M7" s="4"/>
      <c r="N7" s="4"/>
      <c r="O7" s="4"/>
      <c r="P7" s="4" t="n">
        <v>22</v>
      </c>
    </row>
    <row r="8" customFormat="false" ht="15" hidden="false" customHeight="false" outlineLevel="0" collapsed="false">
      <c r="A8" s="2" t="s">
        <v>29</v>
      </c>
      <c r="B8" s="2" t="s">
        <v>26</v>
      </c>
      <c r="C8" s="2" t="s">
        <v>27</v>
      </c>
      <c r="D8" s="3" t="n">
        <v>45332</v>
      </c>
      <c r="E8" s="3" t="n">
        <v>45343</v>
      </c>
      <c r="F8" s="3" t="n">
        <v>45346</v>
      </c>
      <c r="G8" s="2"/>
      <c r="H8" s="2"/>
      <c r="I8" s="2"/>
      <c r="J8" s="2" t="s">
        <v>19</v>
      </c>
      <c r="K8" s="2" t="n">
        <v>11</v>
      </c>
      <c r="L8" s="2" t="n">
        <v>3</v>
      </c>
      <c r="M8" s="2"/>
      <c r="N8" s="2"/>
      <c r="O8" s="2"/>
      <c r="P8" s="2" t="n">
        <v>14</v>
      </c>
    </row>
    <row r="9" customFormat="false" ht="15" hidden="false" customHeight="false" outlineLevel="0" collapsed="false">
      <c r="A9" s="4" t="s">
        <v>30</v>
      </c>
      <c r="B9" s="4" t="s">
        <v>17</v>
      </c>
      <c r="C9" s="4" t="s">
        <v>18</v>
      </c>
      <c r="D9" s="5" t="n">
        <v>45350</v>
      </c>
      <c r="E9" s="5" t="n">
        <v>45361</v>
      </c>
      <c r="F9" s="5" t="n">
        <v>45364</v>
      </c>
      <c r="G9" s="4"/>
      <c r="H9" s="4"/>
      <c r="I9" s="4"/>
      <c r="J9" s="4" t="s">
        <v>23</v>
      </c>
      <c r="K9" s="4" t="n">
        <v>11</v>
      </c>
      <c r="L9" s="4" t="n">
        <v>3</v>
      </c>
      <c r="M9" s="4"/>
      <c r="N9" s="4"/>
      <c r="O9" s="4"/>
      <c r="P9" s="4" t="n">
        <v>14</v>
      </c>
    </row>
    <row r="10" customFormat="false" ht="15" hidden="false" customHeight="false" outlineLevel="0" collapsed="false">
      <c r="A10" s="2" t="s">
        <v>31</v>
      </c>
      <c r="B10" s="2" t="s">
        <v>26</v>
      </c>
      <c r="C10" s="2" t="s">
        <v>27</v>
      </c>
      <c r="D10" s="3" t="n">
        <v>45306</v>
      </c>
      <c r="E10" s="3" t="n">
        <v>45319</v>
      </c>
      <c r="F10" s="3" t="n">
        <v>45324</v>
      </c>
      <c r="G10" s="2"/>
      <c r="H10" s="2"/>
      <c r="I10" s="2"/>
      <c r="J10" s="2" t="s">
        <v>19</v>
      </c>
      <c r="K10" s="2" t="n">
        <v>13</v>
      </c>
      <c r="L10" s="2" t="n">
        <v>5</v>
      </c>
      <c r="M10" s="2"/>
      <c r="N10" s="2"/>
      <c r="O10" s="2"/>
      <c r="P10" s="2" t="n">
        <v>18</v>
      </c>
    </row>
    <row r="11" customFormat="false" ht="15" hidden="false" customHeight="false" outlineLevel="0" collapsed="false">
      <c r="A11" s="4" t="s">
        <v>32</v>
      </c>
      <c r="B11" s="4" t="s">
        <v>17</v>
      </c>
      <c r="C11" s="4" t="s">
        <v>18</v>
      </c>
      <c r="D11" s="5" t="n">
        <v>45334</v>
      </c>
      <c r="E11" s="5" t="n">
        <v>45352</v>
      </c>
      <c r="F11" s="5" t="n">
        <v>45356</v>
      </c>
      <c r="G11" s="5" t="n">
        <v>45362</v>
      </c>
      <c r="H11" s="5" t="n">
        <v>45370</v>
      </c>
      <c r="I11" s="5" t="n">
        <v>45391</v>
      </c>
      <c r="J11" s="4" t="s">
        <v>21</v>
      </c>
      <c r="K11" s="4" t="n">
        <v>18</v>
      </c>
      <c r="L11" s="4" t="n">
        <v>4</v>
      </c>
      <c r="M11" s="4" t="n">
        <v>6</v>
      </c>
      <c r="N11" s="4" t="n">
        <v>8</v>
      </c>
      <c r="O11" s="4" t="n">
        <v>21</v>
      </c>
      <c r="P11" s="4" t="n">
        <v>57</v>
      </c>
    </row>
    <row r="12" customFormat="false" ht="15" hidden="false" customHeight="false" outlineLevel="0" collapsed="false">
      <c r="A12" s="2" t="s">
        <v>33</v>
      </c>
      <c r="B12" s="2" t="s">
        <v>34</v>
      </c>
      <c r="C12" s="2" t="s">
        <v>35</v>
      </c>
      <c r="D12" s="3" t="n">
        <v>45313</v>
      </c>
      <c r="E12" s="3" t="n">
        <v>45331</v>
      </c>
      <c r="F12" s="3" t="n">
        <v>45338</v>
      </c>
      <c r="G12" s="3" t="n">
        <v>45341</v>
      </c>
      <c r="H12" s="3" t="n">
        <v>45349</v>
      </c>
      <c r="I12" s="3" t="n">
        <v>45373</v>
      </c>
      <c r="J12" s="2" t="s">
        <v>36</v>
      </c>
      <c r="K12" s="2" t="n">
        <v>18</v>
      </c>
      <c r="L12" s="2" t="n">
        <v>7</v>
      </c>
      <c r="M12" s="2" t="n">
        <v>3</v>
      </c>
      <c r="N12" s="2" t="n">
        <v>8</v>
      </c>
      <c r="O12" s="2" t="n">
        <v>24</v>
      </c>
      <c r="P12" s="2" t="n">
        <v>60</v>
      </c>
    </row>
    <row r="13" customFormat="false" ht="15" hidden="false" customHeight="false" outlineLevel="0" collapsed="false">
      <c r="A13" s="4" t="s">
        <v>37</v>
      </c>
      <c r="B13" s="4" t="s">
        <v>17</v>
      </c>
      <c r="C13" s="4" t="s">
        <v>18</v>
      </c>
      <c r="D13" s="5" t="n">
        <v>45310</v>
      </c>
      <c r="E13" s="5" t="n">
        <v>45318</v>
      </c>
      <c r="F13" s="5" t="n">
        <v>45323</v>
      </c>
      <c r="G13" s="5" t="n">
        <v>45328</v>
      </c>
      <c r="H13" s="5" t="n">
        <v>45333</v>
      </c>
      <c r="I13" s="5" t="n">
        <v>45349</v>
      </c>
      <c r="J13" s="4" t="s">
        <v>21</v>
      </c>
      <c r="K13" s="4" t="n">
        <v>8</v>
      </c>
      <c r="L13" s="4" t="n">
        <v>5</v>
      </c>
      <c r="M13" s="4" t="n">
        <v>5</v>
      </c>
      <c r="N13" s="4" t="n">
        <v>5</v>
      </c>
      <c r="O13" s="4" t="n">
        <v>16</v>
      </c>
      <c r="P13" s="4" t="n">
        <v>39</v>
      </c>
    </row>
    <row r="14" customFormat="false" ht="15" hidden="false" customHeight="false" outlineLevel="0" collapsed="false">
      <c r="A14" s="2" t="s">
        <v>38</v>
      </c>
      <c r="B14" s="2" t="s">
        <v>26</v>
      </c>
      <c r="C14" s="2" t="s">
        <v>27</v>
      </c>
      <c r="D14" s="3" t="n">
        <v>45309</v>
      </c>
      <c r="E14" s="3" t="n">
        <v>45327</v>
      </c>
      <c r="F14" s="3" t="n">
        <v>45333</v>
      </c>
      <c r="G14" s="3" t="n">
        <v>45338</v>
      </c>
      <c r="H14" s="3" t="n">
        <v>45346</v>
      </c>
      <c r="I14" s="3" t="n">
        <v>45374</v>
      </c>
      <c r="J14" s="2" t="s">
        <v>21</v>
      </c>
      <c r="K14" s="2" t="n">
        <v>18</v>
      </c>
      <c r="L14" s="2" t="n">
        <v>6</v>
      </c>
      <c r="M14" s="2" t="n">
        <v>5</v>
      </c>
      <c r="N14" s="2" t="n">
        <v>8</v>
      </c>
      <c r="O14" s="2" t="n">
        <v>28</v>
      </c>
      <c r="P14" s="2" t="n">
        <v>65</v>
      </c>
    </row>
    <row r="15" customFormat="false" ht="15" hidden="false" customHeight="false" outlineLevel="0" collapsed="false">
      <c r="A15" s="4" t="s">
        <v>39</v>
      </c>
      <c r="B15" s="4" t="s">
        <v>40</v>
      </c>
      <c r="C15" s="4" t="s">
        <v>41</v>
      </c>
      <c r="D15" s="5" t="n">
        <v>45311</v>
      </c>
      <c r="E15" s="5" t="n">
        <v>45330</v>
      </c>
      <c r="F15" s="5" t="n">
        <v>45337</v>
      </c>
      <c r="G15" s="5" t="n">
        <v>45343</v>
      </c>
      <c r="H15" s="5" t="n">
        <v>45348</v>
      </c>
      <c r="I15" s="5" t="n">
        <v>45375</v>
      </c>
      <c r="J15" s="4" t="s">
        <v>36</v>
      </c>
      <c r="K15" s="4" t="n">
        <v>19</v>
      </c>
      <c r="L15" s="4" t="n">
        <v>7</v>
      </c>
      <c r="M15" s="4" t="n">
        <v>6</v>
      </c>
      <c r="N15" s="4" t="n">
        <v>5</v>
      </c>
      <c r="O15" s="4" t="n">
        <v>27</v>
      </c>
      <c r="P15" s="4" t="n">
        <v>64</v>
      </c>
    </row>
    <row r="16" customFormat="false" ht="15" hidden="false" customHeight="false" outlineLevel="0" collapsed="false">
      <c r="A16" s="2" t="s">
        <v>42</v>
      </c>
      <c r="B16" s="2" t="s">
        <v>34</v>
      </c>
      <c r="C16" s="2" t="s">
        <v>35</v>
      </c>
      <c r="D16" s="3" t="n">
        <v>45319</v>
      </c>
      <c r="E16" s="3" t="n">
        <v>45330</v>
      </c>
      <c r="F16" s="3" t="n">
        <v>45334</v>
      </c>
      <c r="G16" s="2"/>
      <c r="H16" s="2"/>
      <c r="I16" s="2"/>
      <c r="J16" s="2" t="s">
        <v>19</v>
      </c>
      <c r="K16" s="2" t="n">
        <v>11</v>
      </c>
      <c r="L16" s="2" t="n">
        <v>4</v>
      </c>
      <c r="M16" s="2"/>
      <c r="N16" s="2"/>
      <c r="O16" s="2"/>
      <c r="P16" s="2" t="n">
        <v>15</v>
      </c>
    </row>
    <row r="17" customFormat="false" ht="15" hidden="false" customHeight="false" outlineLevel="0" collapsed="false">
      <c r="A17" s="4" t="s">
        <v>43</v>
      </c>
      <c r="B17" s="4" t="s">
        <v>17</v>
      </c>
      <c r="C17" s="4" t="s">
        <v>18</v>
      </c>
      <c r="D17" s="5" t="n">
        <v>45305</v>
      </c>
      <c r="E17" s="5" t="n">
        <v>45323</v>
      </c>
      <c r="F17" s="5" t="n">
        <v>45327</v>
      </c>
      <c r="G17" s="5" t="n">
        <v>45332</v>
      </c>
      <c r="H17" s="5" t="n">
        <v>45339</v>
      </c>
      <c r="I17" s="5" t="n">
        <v>45355</v>
      </c>
      <c r="J17" s="4" t="s">
        <v>21</v>
      </c>
      <c r="K17" s="4" t="n">
        <v>18</v>
      </c>
      <c r="L17" s="4" t="n">
        <v>4</v>
      </c>
      <c r="M17" s="4" t="n">
        <v>5</v>
      </c>
      <c r="N17" s="4" t="n">
        <v>7</v>
      </c>
      <c r="O17" s="4" t="n">
        <v>16</v>
      </c>
      <c r="P17" s="4" t="n">
        <v>50</v>
      </c>
    </row>
    <row r="18" customFormat="false" ht="15" hidden="false" customHeight="false" outlineLevel="0" collapsed="false">
      <c r="A18" s="2" t="s">
        <v>44</v>
      </c>
      <c r="B18" s="2" t="s">
        <v>34</v>
      </c>
      <c r="C18" s="2" t="s">
        <v>35</v>
      </c>
      <c r="D18" s="3" t="n">
        <v>45329</v>
      </c>
      <c r="E18" s="3" t="n">
        <v>45341</v>
      </c>
      <c r="F18" s="3" t="n">
        <v>45348</v>
      </c>
      <c r="G18" s="2"/>
      <c r="H18" s="2"/>
      <c r="I18" s="2"/>
      <c r="J18" s="2" t="s">
        <v>19</v>
      </c>
      <c r="K18" s="2" t="n">
        <v>12</v>
      </c>
      <c r="L18" s="2" t="n">
        <v>7</v>
      </c>
      <c r="M18" s="2"/>
      <c r="N18" s="2"/>
      <c r="O18" s="2"/>
      <c r="P18" s="2" t="n">
        <v>19</v>
      </c>
    </row>
    <row r="19" customFormat="false" ht="15" hidden="false" customHeight="false" outlineLevel="0" collapsed="false">
      <c r="A19" s="4" t="s">
        <v>45</v>
      </c>
      <c r="B19" s="4" t="s">
        <v>26</v>
      </c>
      <c r="C19" s="4" t="s">
        <v>27</v>
      </c>
      <c r="D19" s="5" t="n">
        <v>45345</v>
      </c>
      <c r="E19" s="5" t="n">
        <v>45363</v>
      </c>
      <c r="F19" s="5" t="n">
        <v>45368</v>
      </c>
      <c r="G19" s="5" t="n">
        <v>45370</v>
      </c>
      <c r="H19" s="5" t="n">
        <v>45375</v>
      </c>
      <c r="I19" s="5" t="n">
        <v>45402</v>
      </c>
      <c r="J19" s="4" t="s">
        <v>21</v>
      </c>
      <c r="K19" s="4" t="n">
        <v>18</v>
      </c>
      <c r="L19" s="4" t="n">
        <v>5</v>
      </c>
      <c r="M19" s="4" t="n">
        <v>2</v>
      </c>
      <c r="N19" s="4" t="n">
        <v>5</v>
      </c>
      <c r="O19" s="4" t="n">
        <v>27</v>
      </c>
      <c r="P19" s="4" t="n">
        <v>57</v>
      </c>
    </row>
    <row r="20" customFormat="false" ht="15" hidden="false" customHeight="false" outlineLevel="0" collapsed="false">
      <c r="A20" s="2" t="s">
        <v>46</v>
      </c>
      <c r="B20" s="2" t="s">
        <v>17</v>
      </c>
      <c r="C20" s="2" t="s">
        <v>18</v>
      </c>
      <c r="D20" s="3" t="n">
        <v>45342</v>
      </c>
      <c r="E20" s="3" t="n">
        <v>45361</v>
      </c>
      <c r="F20" s="3" t="n">
        <v>45366</v>
      </c>
      <c r="G20" s="3" t="n">
        <v>45372</v>
      </c>
      <c r="H20" s="3" t="n">
        <v>45376</v>
      </c>
      <c r="I20" s="3" t="n">
        <v>45406</v>
      </c>
      <c r="J20" s="2" t="s">
        <v>47</v>
      </c>
      <c r="K20" s="2" t="n">
        <v>19</v>
      </c>
      <c r="L20" s="2" t="n">
        <v>5</v>
      </c>
      <c r="M20" s="2" t="n">
        <v>6</v>
      </c>
      <c r="N20" s="2" t="n">
        <v>4</v>
      </c>
      <c r="O20" s="2" t="n">
        <v>30</v>
      </c>
      <c r="P20" s="2" t="n">
        <v>64</v>
      </c>
    </row>
    <row r="21" customFormat="false" ht="15" hidden="false" customHeight="false" outlineLevel="0" collapsed="false">
      <c r="A21" s="4" t="s">
        <v>48</v>
      </c>
      <c r="B21" s="4" t="s">
        <v>26</v>
      </c>
      <c r="C21" s="4" t="s">
        <v>27</v>
      </c>
      <c r="D21" s="5" t="n">
        <v>45349</v>
      </c>
      <c r="E21" s="5" t="n">
        <v>45367</v>
      </c>
      <c r="F21" s="5" t="n">
        <v>45374</v>
      </c>
      <c r="G21" s="5" t="n">
        <v>45380</v>
      </c>
      <c r="H21" s="5" t="n">
        <v>45384</v>
      </c>
      <c r="I21" s="5" t="n">
        <v>45402</v>
      </c>
      <c r="J21" s="4" t="s">
        <v>21</v>
      </c>
      <c r="K21" s="4" t="n">
        <v>18</v>
      </c>
      <c r="L21" s="4" t="n">
        <v>7</v>
      </c>
      <c r="M21" s="4" t="n">
        <v>6</v>
      </c>
      <c r="N21" s="4" t="n">
        <v>4</v>
      </c>
      <c r="O21" s="4" t="n">
        <v>18</v>
      </c>
      <c r="P21" s="4" t="n">
        <v>53</v>
      </c>
    </row>
    <row r="22" customFormat="false" ht="15" hidden="false" customHeight="false" outlineLevel="0" collapsed="false">
      <c r="A22" s="2" t="s">
        <v>49</v>
      </c>
      <c r="B22" s="2" t="s">
        <v>40</v>
      </c>
      <c r="C22" s="2" t="s">
        <v>41</v>
      </c>
      <c r="D22" s="3" t="n">
        <v>45330</v>
      </c>
      <c r="E22" s="3" t="n">
        <v>45350</v>
      </c>
      <c r="F22" s="3" t="n">
        <v>45357</v>
      </c>
      <c r="G22" s="2"/>
      <c r="H22" s="2"/>
      <c r="I22" s="2"/>
      <c r="J22" s="2" t="s">
        <v>23</v>
      </c>
      <c r="K22" s="2" t="n">
        <v>20</v>
      </c>
      <c r="L22" s="2" t="n">
        <v>7</v>
      </c>
      <c r="M22" s="2"/>
      <c r="N22" s="2"/>
      <c r="O22" s="2"/>
      <c r="P22" s="2" t="n">
        <v>27</v>
      </c>
    </row>
    <row r="23" customFormat="false" ht="15" hidden="false" customHeight="false" outlineLevel="0" collapsed="false">
      <c r="A23" s="4" t="s">
        <v>50</v>
      </c>
      <c r="B23" s="4" t="s">
        <v>17</v>
      </c>
      <c r="C23" s="4" t="s">
        <v>18</v>
      </c>
      <c r="D23" s="5" t="n">
        <v>45355</v>
      </c>
      <c r="E23" s="5" t="n">
        <v>45368</v>
      </c>
      <c r="F23" s="5" t="n">
        <v>45373</v>
      </c>
      <c r="G23" s="5" t="n">
        <v>45376</v>
      </c>
      <c r="H23" s="5" t="n">
        <v>45379</v>
      </c>
      <c r="I23" s="5" t="n">
        <v>45400</v>
      </c>
      <c r="J23" s="4" t="s">
        <v>36</v>
      </c>
      <c r="K23" s="4" t="n">
        <v>13</v>
      </c>
      <c r="L23" s="4" t="n">
        <v>5</v>
      </c>
      <c r="M23" s="4" t="n">
        <v>3</v>
      </c>
      <c r="N23" s="4" t="n">
        <v>3</v>
      </c>
      <c r="O23" s="4" t="n">
        <v>21</v>
      </c>
      <c r="P23" s="4" t="n">
        <v>45</v>
      </c>
    </row>
    <row r="24" customFormat="false" ht="15" hidden="false" customHeight="false" outlineLevel="0" collapsed="false">
      <c r="A24" s="2" t="s">
        <v>51</v>
      </c>
      <c r="B24" s="2" t="s">
        <v>17</v>
      </c>
      <c r="C24" s="2" t="s">
        <v>18</v>
      </c>
      <c r="D24" s="3" t="n">
        <v>45301</v>
      </c>
      <c r="E24" s="3" t="n">
        <v>45320</v>
      </c>
      <c r="F24" s="3" t="n">
        <v>45326</v>
      </c>
      <c r="G24" s="3" t="n">
        <v>45328</v>
      </c>
      <c r="H24" s="3" t="n">
        <v>45335</v>
      </c>
      <c r="I24" s="3" t="n">
        <v>45353</v>
      </c>
      <c r="J24" s="2" t="s">
        <v>21</v>
      </c>
      <c r="K24" s="2" t="n">
        <v>19</v>
      </c>
      <c r="L24" s="2" t="n">
        <v>6</v>
      </c>
      <c r="M24" s="2" t="n">
        <v>2</v>
      </c>
      <c r="N24" s="2" t="n">
        <v>7</v>
      </c>
      <c r="O24" s="2" t="n">
        <v>18</v>
      </c>
      <c r="P24" s="2" t="n">
        <v>52</v>
      </c>
    </row>
    <row r="25" customFormat="false" ht="15" hidden="false" customHeight="false" outlineLevel="0" collapsed="false">
      <c r="A25" s="4" t="s">
        <v>52</v>
      </c>
      <c r="B25" s="4" t="s">
        <v>34</v>
      </c>
      <c r="C25" s="4" t="s">
        <v>35</v>
      </c>
      <c r="D25" s="5" t="n">
        <v>45356</v>
      </c>
      <c r="E25" s="5" t="n">
        <v>45372</v>
      </c>
      <c r="F25" s="5" t="n">
        <v>45376</v>
      </c>
      <c r="G25" s="5" t="n">
        <v>45380</v>
      </c>
      <c r="H25" s="5" t="n">
        <v>45387</v>
      </c>
      <c r="I25" s="5" t="n">
        <v>45414</v>
      </c>
      <c r="J25" s="4" t="s">
        <v>47</v>
      </c>
      <c r="K25" s="4" t="n">
        <v>16</v>
      </c>
      <c r="L25" s="4" t="n">
        <v>4</v>
      </c>
      <c r="M25" s="4" t="n">
        <v>4</v>
      </c>
      <c r="N25" s="4" t="n">
        <v>7</v>
      </c>
      <c r="O25" s="4" t="n">
        <v>27</v>
      </c>
      <c r="P25" s="4" t="n">
        <v>58</v>
      </c>
    </row>
    <row r="26" customFormat="false" ht="15" hidden="false" customHeight="false" outlineLevel="0" collapsed="false">
      <c r="A26" s="2" t="s">
        <v>53</v>
      </c>
      <c r="B26" s="2" t="s">
        <v>40</v>
      </c>
      <c r="C26" s="2" t="s">
        <v>41</v>
      </c>
      <c r="D26" s="3" t="n">
        <v>45341</v>
      </c>
      <c r="E26" s="3" t="n">
        <v>45353</v>
      </c>
      <c r="F26" s="3" t="n">
        <v>45359</v>
      </c>
      <c r="G26" s="2"/>
      <c r="H26" s="2"/>
      <c r="I26" s="2"/>
      <c r="J26" s="2" t="s">
        <v>23</v>
      </c>
      <c r="K26" s="2" t="n">
        <v>12</v>
      </c>
      <c r="L26" s="2" t="n">
        <v>6</v>
      </c>
      <c r="M26" s="2"/>
      <c r="N26" s="2"/>
      <c r="O26" s="2"/>
      <c r="P26" s="2" t="n">
        <v>18</v>
      </c>
    </row>
    <row r="27" customFormat="false" ht="15" hidden="false" customHeight="false" outlineLevel="0" collapsed="false">
      <c r="A27" s="4" t="s">
        <v>54</v>
      </c>
      <c r="B27" s="4" t="s">
        <v>40</v>
      </c>
      <c r="C27" s="4" t="s">
        <v>41</v>
      </c>
      <c r="D27" s="5" t="n">
        <v>45310</v>
      </c>
      <c r="E27" s="5" t="n">
        <v>45319</v>
      </c>
      <c r="F27" s="5" t="n">
        <v>45324</v>
      </c>
      <c r="G27" s="4"/>
      <c r="H27" s="4"/>
      <c r="I27" s="4"/>
      <c r="J27" s="4" t="s">
        <v>23</v>
      </c>
      <c r="K27" s="4" t="n">
        <v>9</v>
      </c>
      <c r="L27" s="4" t="n">
        <v>5</v>
      </c>
      <c r="M27" s="4"/>
      <c r="N27" s="4"/>
      <c r="O27" s="4"/>
      <c r="P27" s="4" t="n">
        <v>14</v>
      </c>
    </row>
    <row r="28" customFormat="false" ht="15" hidden="false" customHeight="false" outlineLevel="0" collapsed="false">
      <c r="A28" s="2" t="s">
        <v>55</v>
      </c>
      <c r="B28" s="2" t="s">
        <v>17</v>
      </c>
      <c r="C28" s="2" t="s">
        <v>18</v>
      </c>
      <c r="D28" s="3" t="n">
        <v>45300</v>
      </c>
      <c r="E28" s="3" t="n">
        <v>45319</v>
      </c>
      <c r="F28" s="3" t="n">
        <v>45322</v>
      </c>
      <c r="G28" s="3" t="n">
        <v>45325</v>
      </c>
      <c r="H28" s="3" t="n">
        <v>45328</v>
      </c>
      <c r="I28" s="3" t="n">
        <v>45343</v>
      </c>
      <c r="J28" s="2" t="s">
        <v>36</v>
      </c>
      <c r="K28" s="2" t="n">
        <v>19</v>
      </c>
      <c r="L28" s="2" t="n">
        <v>3</v>
      </c>
      <c r="M28" s="2" t="n">
        <v>3</v>
      </c>
      <c r="N28" s="2" t="n">
        <v>3</v>
      </c>
      <c r="O28" s="2" t="n">
        <v>15</v>
      </c>
      <c r="P28" s="2" t="n">
        <v>43</v>
      </c>
    </row>
    <row r="29" customFormat="false" ht="15" hidden="false" customHeight="false" outlineLevel="0" collapsed="false">
      <c r="A29" s="4" t="s">
        <v>56</v>
      </c>
      <c r="B29" s="4" t="s">
        <v>17</v>
      </c>
      <c r="C29" s="4" t="s">
        <v>18</v>
      </c>
      <c r="D29" s="5" t="n">
        <v>45328</v>
      </c>
      <c r="E29" s="5" t="n">
        <v>45339</v>
      </c>
      <c r="F29" s="5" t="n">
        <v>45344</v>
      </c>
      <c r="G29" s="4"/>
      <c r="H29" s="4"/>
      <c r="I29" s="4"/>
      <c r="J29" s="4" t="s">
        <v>19</v>
      </c>
      <c r="K29" s="4" t="n">
        <v>11</v>
      </c>
      <c r="L29" s="4" t="n">
        <v>5</v>
      </c>
      <c r="M29" s="4"/>
      <c r="N29" s="4"/>
      <c r="O29" s="4"/>
      <c r="P29" s="4" t="n">
        <v>16</v>
      </c>
    </row>
    <row r="30" customFormat="false" ht="15" hidden="false" customHeight="false" outlineLevel="0" collapsed="false">
      <c r="A30" s="2" t="s">
        <v>57</v>
      </c>
      <c r="B30" s="2" t="s">
        <v>34</v>
      </c>
      <c r="C30" s="2" t="s">
        <v>35</v>
      </c>
      <c r="D30" s="3" t="n">
        <v>45311</v>
      </c>
      <c r="E30" s="3" t="n">
        <v>45331</v>
      </c>
      <c r="F30" s="3" t="n">
        <v>45337</v>
      </c>
      <c r="G30" s="3" t="n">
        <v>45342</v>
      </c>
      <c r="H30" s="3" t="n">
        <v>45346</v>
      </c>
      <c r="I30" s="3" t="n">
        <v>45363</v>
      </c>
      <c r="J30" s="2" t="s">
        <v>21</v>
      </c>
      <c r="K30" s="2" t="n">
        <v>20</v>
      </c>
      <c r="L30" s="2" t="n">
        <v>6</v>
      </c>
      <c r="M30" s="2" t="n">
        <v>5</v>
      </c>
      <c r="N30" s="2" t="n">
        <v>4</v>
      </c>
      <c r="O30" s="2" t="n">
        <v>17</v>
      </c>
      <c r="P30" s="2" t="n">
        <v>52</v>
      </c>
    </row>
    <row r="31" customFormat="false" ht="15" hidden="false" customHeight="false" outlineLevel="0" collapsed="false">
      <c r="A31" s="4" t="s">
        <v>58</v>
      </c>
      <c r="B31" s="4" t="s">
        <v>34</v>
      </c>
      <c r="C31" s="4" t="s">
        <v>35</v>
      </c>
      <c r="D31" s="5" t="n">
        <v>45318</v>
      </c>
      <c r="E31" s="5" t="n">
        <v>45332</v>
      </c>
      <c r="F31" s="5" t="n">
        <v>45338</v>
      </c>
      <c r="G31" s="4"/>
      <c r="H31" s="4"/>
      <c r="I31" s="4"/>
      <c r="J31" s="4" t="s">
        <v>19</v>
      </c>
      <c r="K31" s="4" t="n">
        <v>14</v>
      </c>
      <c r="L31" s="4" t="n">
        <v>6</v>
      </c>
      <c r="M31" s="4"/>
      <c r="N31" s="4"/>
      <c r="O31" s="4"/>
      <c r="P31" s="4" t="n">
        <v>20</v>
      </c>
    </row>
    <row r="32" customFormat="false" ht="15" hidden="false" customHeight="false" outlineLevel="0" collapsed="false">
      <c r="A32" s="2" t="s">
        <v>59</v>
      </c>
      <c r="B32" s="2" t="s">
        <v>17</v>
      </c>
      <c r="C32" s="2" t="s">
        <v>18</v>
      </c>
      <c r="D32" s="3" t="n">
        <v>45299</v>
      </c>
      <c r="E32" s="3" t="n">
        <v>45313</v>
      </c>
      <c r="F32" s="3" t="n">
        <v>45318</v>
      </c>
      <c r="G32" s="3" t="n">
        <v>45320</v>
      </c>
      <c r="H32" s="3" t="n">
        <v>45324</v>
      </c>
      <c r="I32" s="3" t="n">
        <v>45344</v>
      </c>
      <c r="J32" s="2" t="s">
        <v>21</v>
      </c>
      <c r="K32" s="2" t="n">
        <v>14</v>
      </c>
      <c r="L32" s="2" t="n">
        <v>5</v>
      </c>
      <c r="M32" s="2" t="n">
        <v>2</v>
      </c>
      <c r="N32" s="2" t="n">
        <v>4</v>
      </c>
      <c r="O32" s="2" t="n">
        <v>20</v>
      </c>
      <c r="P32" s="2" t="n">
        <v>45</v>
      </c>
    </row>
    <row r="33" customFormat="false" ht="15" hidden="false" customHeight="false" outlineLevel="0" collapsed="false">
      <c r="A33" s="4" t="s">
        <v>60</v>
      </c>
      <c r="B33" s="4" t="s">
        <v>34</v>
      </c>
      <c r="C33" s="4" t="s">
        <v>35</v>
      </c>
      <c r="D33" s="5" t="n">
        <v>45304</v>
      </c>
      <c r="E33" s="5" t="n">
        <v>45318</v>
      </c>
      <c r="F33" s="5" t="n">
        <v>45322</v>
      </c>
      <c r="G33" s="5" t="n">
        <v>45326</v>
      </c>
      <c r="H33" s="5" t="n">
        <v>45332</v>
      </c>
      <c r="I33" s="5" t="n">
        <v>45353</v>
      </c>
      <c r="J33" s="4" t="s">
        <v>36</v>
      </c>
      <c r="K33" s="4" t="n">
        <v>14</v>
      </c>
      <c r="L33" s="4" t="n">
        <v>4</v>
      </c>
      <c r="M33" s="4" t="n">
        <v>4</v>
      </c>
      <c r="N33" s="4" t="n">
        <v>6</v>
      </c>
      <c r="O33" s="4" t="n">
        <v>21</v>
      </c>
      <c r="P33" s="4" t="n">
        <v>49</v>
      </c>
    </row>
    <row r="34" customFormat="false" ht="15" hidden="false" customHeight="false" outlineLevel="0" collapsed="false">
      <c r="A34" s="2" t="s">
        <v>61</v>
      </c>
      <c r="B34" s="2" t="s">
        <v>17</v>
      </c>
      <c r="C34" s="2" t="s">
        <v>18</v>
      </c>
      <c r="D34" s="3" t="n">
        <v>45324</v>
      </c>
      <c r="E34" s="3" t="n">
        <v>45344</v>
      </c>
      <c r="F34" s="3" t="n">
        <v>45351</v>
      </c>
      <c r="G34" s="3" t="n">
        <v>45353</v>
      </c>
      <c r="H34" s="3" t="n">
        <v>45356</v>
      </c>
      <c r="I34" s="3" t="n">
        <v>45370</v>
      </c>
      <c r="J34" s="2" t="s">
        <v>47</v>
      </c>
      <c r="K34" s="2" t="n">
        <v>20</v>
      </c>
      <c r="L34" s="2" t="n">
        <v>7</v>
      </c>
      <c r="M34" s="2" t="n">
        <v>2</v>
      </c>
      <c r="N34" s="2" t="n">
        <v>3</v>
      </c>
      <c r="O34" s="2" t="n">
        <v>14</v>
      </c>
      <c r="P34" s="2" t="n">
        <v>46</v>
      </c>
    </row>
    <row r="35" customFormat="false" ht="15" hidden="false" customHeight="false" outlineLevel="0" collapsed="false">
      <c r="A35" s="4" t="s">
        <v>62</v>
      </c>
      <c r="B35" s="4" t="s">
        <v>40</v>
      </c>
      <c r="C35" s="4" t="s">
        <v>41</v>
      </c>
      <c r="D35" s="5" t="n">
        <v>45306</v>
      </c>
      <c r="E35" s="5" t="n">
        <v>45320</v>
      </c>
      <c r="F35" s="5" t="n">
        <v>45326</v>
      </c>
      <c r="G35" s="5" t="n">
        <v>45331</v>
      </c>
      <c r="H35" s="5" t="n">
        <v>45335</v>
      </c>
      <c r="I35" s="5" t="n">
        <v>45361</v>
      </c>
      <c r="J35" s="4" t="s">
        <v>47</v>
      </c>
      <c r="K35" s="4" t="n">
        <v>14</v>
      </c>
      <c r="L35" s="4" t="n">
        <v>6</v>
      </c>
      <c r="M35" s="4" t="n">
        <v>5</v>
      </c>
      <c r="N35" s="4" t="n">
        <v>4</v>
      </c>
      <c r="O35" s="4" t="n">
        <v>26</v>
      </c>
      <c r="P35" s="4" t="n">
        <v>55</v>
      </c>
    </row>
    <row r="36" customFormat="false" ht="15" hidden="false" customHeight="false" outlineLevel="0" collapsed="false">
      <c r="A36" s="2" t="s">
        <v>63</v>
      </c>
      <c r="B36" s="2" t="s">
        <v>40</v>
      </c>
      <c r="C36" s="2" t="s">
        <v>41</v>
      </c>
      <c r="D36" s="3" t="n">
        <v>45320</v>
      </c>
      <c r="E36" s="3" t="n">
        <v>45328</v>
      </c>
      <c r="F36" s="3" t="n">
        <v>45334</v>
      </c>
      <c r="G36" s="2"/>
      <c r="H36" s="2"/>
      <c r="I36" s="2"/>
      <c r="J36" s="2" t="s">
        <v>23</v>
      </c>
      <c r="K36" s="2" t="n">
        <v>8</v>
      </c>
      <c r="L36" s="2" t="n">
        <v>6</v>
      </c>
      <c r="M36" s="2"/>
      <c r="N36" s="2"/>
      <c r="O36" s="2"/>
      <c r="P36" s="2" t="n">
        <v>14</v>
      </c>
    </row>
    <row r="37" customFormat="false" ht="15" hidden="false" customHeight="false" outlineLevel="0" collapsed="false">
      <c r="A37" s="4" t="s">
        <v>64</v>
      </c>
      <c r="B37" s="4" t="s">
        <v>34</v>
      </c>
      <c r="C37" s="4" t="s">
        <v>35</v>
      </c>
      <c r="D37" s="5" t="n">
        <v>45305</v>
      </c>
      <c r="E37" s="5" t="n">
        <v>45316</v>
      </c>
      <c r="F37" s="5" t="n">
        <v>45321</v>
      </c>
      <c r="G37" s="4"/>
      <c r="H37" s="4"/>
      <c r="I37" s="4"/>
      <c r="J37" s="4" t="s">
        <v>19</v>
      </c>
      <c r="K37" s="4" t="n">
        <v>11</v>
      </c>
      <c r="L37" s="4" t="n">
        <v>5</v>
      </c>
      <c r="M37" s="4"/>
      <c r="N37" s="4"/>
      <c r="O37" s="4"/>
      <c r="P37" s="4" t="n">
        <v>16</v>
      </c>
    </row>
    <row r="38" customFormat="false" ht="15" hidden="false" customHeight="false" outlineLevel="0" collapsed="false">
      <c r="A38" s="2" t="s">
        <v>65</v>
      </c>
      <c r="B38" s="2" t="s">
        <v>17</v>
      </c>
      <c r="C38" s="2" t="s">
        <v>18</v>
      </c>
      <c r="D38" s="3" t="n">
        <v>45299</v>
      </c>
      <c r="E38" s="3" t="n">
        <v>45316</v>
      </c>
      <c r="F38" s="3" t="n">
        <v>45322</v>
      </c>
      <c r="G38" s="3" t="n">
        <v>45328</v>
      </c>
      <c r="H38" s="3" t="n">
        <v>45335</v>
      </c>
      <c r="I38" s="3" t="n">
        <v>45354</v>
      </c>
      <c r="J38" s="2" t="s">
        <v>21</v>
      </c>
      <c r="K38" s="2" t="n">
        <v>17</v>
      </c>
      <c r="L38" s="2" t="n">
        <v>6</v>
      </c>
      <c r="M38" s="2" t="n">
        <v>6</v>
      </c>
      <c r="N38" s="2" t="n">
        <v>7</v>
      </c>
      <c r="O38" s="2" t="n">
        <v>19</v>
      </c>
      <c r="P38" s="2" t="n">
        <v>55</v>
      </c>
    </row>
    <row r="39" customFormat="false" ht="15" hidden="false" customHeight="false" outlineLevel="0" collapsed="false">
      <c r="A39" s="4" t="s">
        <v>66</v>
      </c>
      <c r="B39" s="4" t="s">
        <v>17</v>
      </c>
      <c r="C39" s="4" t="s">
        <v>18</v>
      </c>
      <c r="D39" s="5" t="n">
        <v>45350</v>
      </c>
      <c r="E39" s="5" t="n">
        <v>45360</v>
      </c>
      <c r="F39" s="5" t="n">
        <v>45363</v>
      </c>
      <c r="G39" s="4"/>
      <c r="H39" s="4"/>
      <c r="I39" s="4"/>
      <c r="J39" s="4" t="s">
        <v>23</v>
      </c>
      <c r="K39" s="4" t="n">
        <v>10</v>
      </c>
      <c r="L39" s="4" t="n">
        <v>3</v>
      </c>
      <c r="M39" s="4"/>
      <c r="N39" s="4"/>
      <c r="O39" s="4"/>
      <c r="P39" s="4" t="n">
        <v>13</v>
      </c>
    </row>
    <row r="40" customFormat="false" ht="15" hidden="false" customHeight="false" outlineLevel="0" collapsed="false">
      <c r="A40" s="2" t="s">
        <v>67</v>
      </c>
      <c r="B40" s="2" t="s">
        <v>40</v>
      </c>
      <c r="C40" s="2" t="s">
        <v>41</v>
      </c>
      <c r="D40" s="3" t="n">
        <v>45333</v>
      </c>
      <c r="E40" s="3" t="n">
        <v>45350</v>
      </c>
      <c r="F40" s="3" t="n">
        <v>45353</v>
      </c>
      <c r="G40" s="2"/>
      <c r="H40" s="2"/>
      <c r="I40" s="2"/>
      <c r="J40" s="2" t="s">
        <v>19</v>
      </c>
      <c r="K40" s="2" t="n">
        <v>17</v>
      </c>
      <c r="L40" s="2" t="n">
        <v>3</v>
      </c>
      <c r="M40" s="2"/>
      <c r="N40" s="2"/>
      <c r="O40" s="2"/>
      <c r="P40" s="2" t="n">
        <v>20</v>
      </c>
    </row>
    <row r="41" customFormat="false" ht="15" hidden="false" customHeight="false" outlineLevel="0" collapsed="false">
      <c r="A41" s="4" t="s">
        <v>68</v>
      </c>
      <c r="B41" s="4" t="s">
        <v>26</v>
      </c>
      <c r="C41" s="4" t="s">
        <v>27</v>
      </c>
      <c r="D41" s="5" t="n">
        <v>45355</v>
      </c>
      <c r="E41" s="5" t="n">
        <v>45367</v>
      </c>
      <c r="F41" s="5" t="n">
        <v>45371</v>
      </c>
      <c r="G41" s="5" t="n">
        <v>45375</v>
      </c>
      <c r="H41" s="5" t="n">
        <v>45379</v>
      </c>
      <c r="I41" s="5" t="n">
        <v>45401</v>
      </c>
      <c r="J41" s="4" t="s">
        <v>21</v>
      </c>
      <c r="K41" s="4" t="n">
        <v>12</v>
      </c>
      <c r="L41" s="4" t="n">
        <v>4</v>
      </c>
      <c r="M41" s="4" t="n">
        <v>4</v>
      </c>
      <c r="N41" s="4" t="n">
        <v>4</v>
      </c>
      <c r="O41" s="4" t="n">
        <v>22</v>
      </c>
      <c r="P41" s="4" t="n">
        <v>46</v>
      </c>
    </row>
    <row r="42" customFormat="false" ht="15" hidden="false" customHeight="false" outlineLevel="0" collapsed="false">
      <c r="A42" s="2" t="s">
        <v>69</v>
      </c>
      <c r="B42" s="2" t="s">
        <v>26</v>
      </c>
      <c r="C42" s="2" t="s">
        <v>27</v>
      </c>
      <c r="D42" s="3" t="n">
        <v>45325</v>
      </c>
      <c r="E42" s="3" t="n">
        <v>45338</v>
      </c>
      <c r="F42" s="3" t="n">
        <v>45341</v>
      </c>
      <c r="G42" s="3" t="n">
        <v>45343</v>
      </c>
      <c r="H42" s="3" t="n">
        <v>45349</v>
      </c>
      <c r="I42" s="3" t="n">
        <v>45366</v>
      </c>
      <c r="J42" s="2" t="s">
        <v>21</v>
      </c>
      <c r="K42" s="2" t="n">
        <v>13</v>
      </c>
      <c r="L42" s="2" t="n">
        <v>3</v>
      </c>
      <c r="M42" s="2" t="n">
        <v>2</v>
      </c>
      <c r="N42" s="2" t="n">
        <v>6</v>
      </c>
      <c r="O42" s="2" t="n">
        <v>17</v>
      </c>
      <c r="P42" s="2" t="n">
        <v>41</v>
      </c>
    </row>
    <row r="43" customFormat="false" ht="15" hidden="false" customHeight="false" outlineLevel="0" collapsed="false">
      <c r="A43" s="4" t="s">
        <v>70</v>
      </c>
      <c r="B43" s="4" t="s">
        <v>40</v>
      </c>
      <c r="C43" s="4" t="s">
        <v>41</v>
      </c>
      <c r="D43" s="5" t="n">
        <v>45328</v>
      </c>
      <c r="E43" s="5" t="n">
        <v>45340</v>
      </c>
      <c r="F43" s="5" t="n">
        <v>45344</v>
      </c>
      <c r="G43" s="5" t="n">
        <v>45348</v>
      </c>
      <c r="H43" s="5" t="n">
        <v>45351</v>
      </c>
      <c r="I43" s="5" t="n">
        <v>45372</v>
      </c>
      <c r="J43" s="4" t="s">
        <v>21</v>
      </c>
      <c r="K43" s="4" t="n">
        <v>12</v>
      </c>
      <c r="L43" s="4" t="n">
        <v>4</v>
      </c>
      <c r="M43" s="4" t="n">
        <v>4</v>
      </c>
      <c r="N43" s="4" t="n">
        <v>3</v>
      </c>
      <c r="O43" s="4" t="n">
        <v>21</v>
      </c>
      <c r="P43" s="4" t="n">
        <v>44</v>
      </c>
    </row>
    <row r="44" customFormat="false" ht="15" hidden="false" customHeight="false" outlineLevel="0" collapsed="false">
      <c r="A44" s="2" t="s">
        <v>71</v>
      </c>
      <c r="B44" s="2" t="s">
        <v>40</v>
      </c>
      <c r="C44" s="2" t="s">
        <v>41</v>
      </c>
      <c r="D44" s="3" t="n">
        <v>45324</v>
      </c>
      <c r="E44" s="3" t="n">
        <v>45340</v>
      </c>
      <c r="F44" s="3" t="n">
        <v>45345</v>
      </c>
      <c r="G44" s="3" t="n">
        <v>45351</v>
      </c>
      <c r="H44" s="3" t="n">
        <v>45359</v>
      </c>
      <c r="I44" s="3" t="n">
        <v>45389</v>
      </c>
      <c r="J44" s="2" t="s">
        <v>21</v>
      </c>
      <c r="K44" s="2" t="n">
        <v>16</v>
      </c>
      <c r="L44" s="2" t="n">
        <v>5</v>
      </c>
      <c r="M44" s="2" t="n">
        <v>6</v>
      </c>
      <c r="N44" s="2" t="n">
        <v>8</v>
      </c>
      <c r="O44" s="2" t="n">
        <v>30</v>
      </c>
      <c r="P44" s="2" t="n">
        <v>65</v>
      </c>
    </row>
    <row r="45" customFormat="false" ht="15" hidden="false" customHeight="false" outlineLevel="0" collapsed="false">
      <c r="A45" s="4" t="s">
        <v>72</v>
      </c>
      <c r="B45" s="4" t="s">
        <v>26</v>
      </c>
      <c r="C45" s="4" t="s">
        <v>27</v>
      </c>
      <c r="D45" s="5" t="n">
        <v>45355</v>
      </c>
      <c r="E45" s="5" t="n">
        <v>45373</v>
      </c>
      <c r="F45" s="5" t="n">
        <v>45376</v>
      </c>
      <c r="G45" s="5" t="n">
        <v>45379</v>
      </c>
      <c r="H45" s="5" t="n">
        <v>45384</v>
      </c>
      <c r="I45" s="5" t="n">
        <v>45401</v>
      </c>
      <c r="J45" s="4" t="s">
        <v>36</v>
      </c>
      <c r="K45" s="4" t="n">
        <v>18</v>
      </c>
      <c r="L45" s="4" t="n">
        <v>3</v>
      </c>
      <c r="M45" s="4" t="n">
        <v>3</v>
      </c>
      <c r="N45" s="4" t="n">
        <v>5</v>
      </c>
      <c r="O45" s="4" t="n">
        <v>17</v>
      </c>
      <c r="P45" s="4" t="n">
        <v>46</v>
      </c>
    </row>
    <row r="46" customFormat="false" ht="15" hidden="false" customHeight="false" outlineLevel="0" collapsed="false">
      <c r="A46" s="2" t="s">
        <v>73</v>
      </c>
      <c r="B46" s="2" t="s">
        <v>40</v>
      </c>
      <c r="C46" s="2" t="s">
        <v>41</v>
      </c>
      <c r="D46" s="3" t="n">
        <v>45313</v>
      </c>
      <c r="E46" s="3" t="n">
        <v>45325</v>
      </c>
      <c r="F46" s="3" t="n">
        <v>45332</v>
      </c>
      <c r="G46" s="3" t="n">
        <v>45335</v>
      </c>
      <c r="H46" s="3" t="n">
        <v>45343</v>
      </c>
      <c r="I46" s="3" t="n">
        <v>45367</v>
      </c>
      <c r="J46" s="2" t="s">
        <v>21</v>
      </c>
      <c r="K46" s="2" t="n">
        <v>12</v>
      </c>
      <c r="L46" s="2" t="n">
        <v>7</v>
      </c>
      <c r="M46" s="2" t="n">
        <v>3</v>
      </c>
      <c r="N46" s="2" t="n">
        <v>8</v>
      </c>
      <c r="O46" s="2" t="n">
        <v>24</v>
      </c>
      <c r="P46" s="2" t="n">
        <v>54</v>
      </c>
    </row>
    <row r="47" customFormat="false" ht="15" hidden="false" customHeight="false" outlineLevel="0" collapsed="false">
      <c r="A47" s="4" t="s">
        <v>74</v>
      </c>
      <c r="B47" s="4" t="s">
        <v>26</v>
      </c>
      <c r="C47" s="4" t="s">
        <v>27</v>
      </c>
      <c r="D47" s="5" t="n">
        <v>45328</v>
      </c>
      <c r="E47" s="5" t="n">
        <v>45343</v>
      </c>
      <c r="F47" s="5" t="n">
        <v>45348</v>
      </c>
      <c r="G47" s="5" t="n">
        <v>45350</v>
      </c>
      <c r="H47" s="5" t="n">
        <v>45353</v>
      </c>
      <c r="I47" s="5" t="n">
        <v>45380</v>
      </c>
      <c r="J47" s="4" t="s">
        <v>36</v>
      </c>
      <c r="K47" s="4" t="n">
        <v>15</v>
      </c>
      <c r="L47" s="4" t="n">
        <v>5</v>
      </c>
      <c r="M47" s="4" t="n">
        <v>2</v>
      </c>
      <c r="N47" s="4" t="n">
        <v>3</v>
      </c>
      <c r="O47" s="4" t="n">
        <v>27</v>
      </c>
      <c r="P47" s="4" t="n">
        <v>52</v>
      </c>
    </row>
    <row r="48" customFormat="false" ht="15" hidden="false" customHeight="false" outlineLevel="0" collapsed="false">
      <c r="A48" s="2" t="s">
        <v>75</v>
      </c>
      <c r="B48" s="2" t="s">
        <v>17</v>
      </c>
      <c r="C48" s="2" t="s">
        <v>18</v>
      </c>
      <c r="D48" s="3" t="n">
        <v>45296</v>
      </c>
      <c r="E48" s="3" t="n">
        <v>45309</v>
      </c>
      <c r="F48" s="3" t="n">
        <v>45313</v>
      </c>
      <c r="G48" s="2"/>
      <c r="H48" s="2"/>
      <c r="I48" s="2"/>
      <c r="J48" s="2" t="s">
        <v>23</v>
      </c>
      <c r="K48" s="2" t="n">
        <v>13</v>
      </c>
      <c r="L48" s="2" t="n">
        <v>4</v>
      </c>
      <c r="M48" s="2"/>
      <c r="N48" s="2"/>
      <c r="O48" s="2"/>
      <c r="P48" s="2" t="n">
        <v>17</v>
      </c>
    </row>
    <row r="49" customFormat="false" ht="15" hidden="false" customHeight="false" outlineLevel="0" collapsed="false">
      <c r="A49" s="4" t="s">
        <v>76</v>
      </c>
      <c r="B49" s="4" t="s">
        <v>34</v>
      </c>
      <c r="C49" s="4" t="s">
        <v>35</v>
      </c>
      <c r="D49" s="5" t="n">
        <v>45331</v>
      </c>
      <c r="E49" s="5" t="n">
        <v>45339</v>
      </c>
      <c r="F49" s="5" t="n">
        <v>45342</v>
      </c>
      <c r="G49" s="4"/>
      <c r="H49" s="4"/>
      <c r="I49" s="4"/>
      <c r="J49" s="4" t="s">
        <v>23</v>
      </c>
      <c r="K49" s="4" t="n">
        <v>8</v>
      </c>
      <c r="L49" s="4" t="n">
        <v>3</v>
      </c>
      <c r="M49" s="4"/>
      <c r="N49" s="4"/>
      <c r="O49" s="4"/>
      <c r="P49" s="4" t="n">
        <v>11</v>
      </c>
    </row>
    <row r="50" customFormat="false" ht="15" hidden="false" customHeight="false" outlineLevel="0" collapsed="false">
      <c r="A50" s="2" t="s">
        <v>77</v>
      </c>
      <c r="B50" s="2" t="s">
        <v>26</v>
      </c>
      <c r="C50" s="2" t="s">
        <v>27</v>
      </c>
      <c r="D50" s="3" t="n">
        <v>45333</v>
      </c>
      <c r="E50" s="3" t="n">
        <v>45349</v>
      </c>
      <c r="F50" s="3" t="n">
        <v>45353</v>
      </c>
      <c r="G50" s="3" t="n">
        <v>45358</v>
      </c>
      <c r="H50" s="3" t="n">
        <v>45362</v>
      </c>
      <c r="I50" s="3" t="n">
        <v>45377</v>
      </c>
      <c r="J50" s="2" t="s">
        <v>21</v>
      </c>
      <c r="K50" s="2" t="n">
        <v>16</v>
      </c>
      <c r="L50" s="2" t="n">
        <v>4</v>
      </c>
      <c r="M50" s="2" t="n">
        <v>5</v>
      </c>
      <c r="N50" s="2" t="n">
        <v>4</v>
      </c>
      <c r="O50" s="2" t="n">
        <v>15</v>
      </c>
      <c r="P50" s="2" t="n">
        <v>44</v>
      </c>
    </row>
    <row r="51" customFormat="false" ht="15" hidden="false" customHeight="false" outlineLevel="0" collapsed="false">
      <c r="A51" s="4" t="s">
        <v>78</v>
      </c>
      <c r="B51" s="4" t="s">
        <v>17</v>
      </c>
      <c r="C51" s="4" t="s">
        <v>18</v>
      </c>
      <c r="D51" s="5" t="n">
        <v>45353</v>
      </c>
      <c r="E51" s="5" t="n">
        <v>45366</v>
      </c>
      <c r="F51" s="5" t="n">
        <v>45370</v>
      </c>
      <c r="G51" s="5" t="n">
        <v>45373</v>
      </c>
      <c r="H51" s="5" t="n">
        <v>45381</v>
      </c>
      <c r="I51" s="5" t="n">
        <v>45398</v>
      </c>
      <c r="J51" s="4" t="s">
        <v>21</v>
      </c>
      <c r="K51" s="4" t="n">
        <v>13</v>
      </c>
      <c r="L51" s="4" t="n">
        <v>4</v>
      </c>
      <c r="M51" s="4" t="n">
        <v>3</v>
      </c>
      <c r="N51" s="4" t="n">
        <v>8</v>
      </c>
      <c r="O51" s="4" t="n">
        <v>17</v>
      </c>
      <c r="P51" s="4" t="n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6" t="s">
        <v>79</v>
      </c>
      <c r="B1" s="6" t="s">
        <v>80</v>
      </c>
      <c r="C1" s="6" t="s">
        <v>81</v>
      </c>
      <c r="D1" s="6" t="s">
        <v>82</v>
      </c>
      <c r="E1" s="6" t="s">
        <v>83</v>
      </c>
    </row>
    <row r="2" customFormat="false" ht="15" hidden="false" customHeight="false" outlineLevel="0" collapsed="false">
      <c r="A2" s="7" t="s">
        <v>84</v>
      </c>
      <c r="B2" s="8" t="n">
        <f aca="false">AVERAGEIF(Candidate_Pipeline!J:J,"&lt;&gt;",Candidate_Pipeline!K:K)</f>
        <v>14.52</v>
      </c>
      <c r="C2" s="8" t="n">
        <v>5</v>
      </c>
      <c r="D2" s="8" t="n">
        <f aca="false">B2-C2</f>
        <v>9.52</v>
      </c>
      <c r="E2" s="8" t="str">
        <f aca="false">IF(D2&gt;2,"🔴 Bottleneck",IF(D2&gt;0,"🟡 Watch","🟢 On Track"))</f>
        <v>🔴 Bottleneck</v>
      </c>
    </row>
    <row r="3" customFormat="false" ht="15" hidden="false" customHeight="false" outlineLevel="0" collapsed="false">
      <c r="A3" s="8" t="s">
        <v>85</v>
      </c>
      <c r="B3" s="8" t="n">
        <f aca="false">AVERAGEIF(Candidate_Pipeline!J:J,"&lt;&gt;",Candidate_Pipeline!L:L)</f>
        <v>4.96</v>
      </c>
      <c r="C3" s="8" t="n">
        <v>4</v>
      </c>
      <c r="D3" s="8" t="n">
        <f aca="false">B3-C3</f>
        <v>0.96</v>
      </c>
      <c r="E3" s="8" t="str">
        <f aca="false">IF(D3&gt;2,"🔴 Bottleneck",IF(D3&gt;0,"🟡 Watch","🟢 On Track"))</f>
        <v>🟡 Watch</v>
      </c>
    </row>
    <row r="4" customFormat="false" ht="15" hidden="false" customHeight="false" outlineLevel="0" collapsed="false">
      <c r="A4" s="8" t="s">
        <v>86</v>
      </c>
      <c r="B4" s="8" t="n">
        <f aca="false">AVERAGEIF(Candidate_Pipeline!J:J,"Hired",Candidate_Pipeline!M:M)</f>
        <v>4.10526315789474</v>
      </c>
      <c r="C4" s="8" t="n">
        <v>3</v>
      </c>
      <c r="D4" s="8" t="n">
        <f aca="false">B4-C4</f>
        <v>1.10526315789474</v>
      </c>
      <c r="E4" s="8" t="str">
        <f aca="false">IF(D4&gt;2,"🔴 Bottleneck",IF(D4&gt;0,"🟡 Watch","🟢 On Track"))</f>
        <v>🟡 Watch</v>
      </c>
    </row>
    <row r="5" customFormat="false" ht="15" hidden="false" customHeight="false" outlineLevel="0" collapsed="false">
      <c r="A5" s="8" t="s">
        <v>87</v>
      </c>
      <c r="B5" s="8" t="n">
        <f aca="false">AVERAGEIF(Candidate_Pipeline!J:J,"Hired",Candidate_Pipeline!N:N)</f>
        <v>5.68421052631579</v>
      </c>
      <c r="C5" s="8" t="n">
        <v>4</v>
      </c>
      <c r="D5" s="8" t="n">
        <f aca="false">B5-C5</f>
        <v>1.68421052631579</v>
      </c>
      <c r="E5" s="8" t="str">
        <f aca="false">IF(D5&gt;2,"🔴 Bottleneck",IF(D5&gt;0,"🟡 Watch","🟢 On Track"))</f>
        <v>🟡 Watch</v>
      </c>
    </row>
    <row r="6" customFormat="false" ht="15" hidden="false" customHeight="false" outlineLevel="0" collapsed="false">
      <c r="A6" s="8" t="s">
        <v>88</v>
      </c>
      <c r="B6" s="8" t="n">
        <f aca="false">AVERAGEIF(Candidate_Pipeline!J:J,"Hired",Candidate_Pipeline!O:O)</f>
        <v>20.421052631579</v>
      </c>
      <c r="C6" s="8" t="n">
        <v>14</v>
      </c>
      <c r="D6" s="8" t="n">
        <f aca="false">B6-C6</f>
        <v>6.42105263157895</v>
      </c>
      <c r="E6" s="8" t="str">
        <f aca="false">IF(D6&gt;2,"🔴 Bottleneck",IF(D6&gt;0,"🟡 Watch","🟢 On Track"))</f>
        <v>🔴 Bottleneck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79</v>
      </c>
      <c r="B1" s="1" t="s">
        <v>89</v>
      </c>
      <c r="C1" s="1" t="s">
        <v>90</v>
      </c>
      <c r="D1" s="1" t="s">
        <v>91</v>
      </c>
      <c r="E1" s="1" t="s">
        <v>92</v>
      </c>
    </row>
    <row r="2" customFormat="false" ht="15" hidden="false" customHeight="false" outlineLevel="0" collapsed="false">
      <c r="A2" s="9" t="s">
        <v>93</v>
      </c>
      <c r="B2" s="9" t="n">
        <v>50</v>
      </c>
      <c r="C2" s="9" t="n">
        <v>50</v>
      </c>
      <c r="D2" s="9" t="n">
        <v>0</v>
      </c>
      <c r="E2" s="9" t="n">
        <f aca="false">C2/B2*100</f>
        <v>100</v>
      </c>
    </row>
    <row r="3" customFormat="false" ht="15" hidden="false" customHeight="false" outlineLevel="0" collapsed="false">
      <c r="A3" s="8" t="s">
        <v>94</v>
      </c>
      <c r="B3" s="8" t="n">
        <v>50</v>
      </c>
      <c r="C3" s="8" t="n">
        <v>38</v>
      </c>
      <c r="D3" s="8" t="n">
        <v>12</v>
      </c>
      <c r="E3" s="8" t="n">
        <f aca="false">C3/B3*100</f>
        <v>76</v>
      </c>
    </row>
    <row r="4" customFormat="false" ht="15" hidden="false" customHeight="false" outlineLevel="0" collapsed="false">
      <c r="A4" s="9" t="s">
        <v>95</v>
      </c>
      <c r="B4" s="9" t="n">
        <v>38</v>
      </c>
      <c r="C4" s="9" t="n">
        <v>28</v>
      </c>
      <c r="D4" s="9" t="n">
        <v>10</v>
      </c>
      <c r="E4" s="9" t="n">
        <f aca="false">C4/B4*100</f>
        <v>73.6842105263158</v>
      </c>
    </row>
    <row r="5" customFormat="false" ht="15" hidden="false" customHeight="false" outlineLevel="0" collapsed="false">
      <c r="A5" s="8" t="s">
        <v>96</v>
      </c>
      <c r="B5" s="8" t="n">
        <v>28</v>
      </c>
      <c r="C5" s="8" t="n">
        <v>20</v>
      </c>
      <c r="D5" s="8" t="n">
        <v>8</v>
      </c>
      <c r="E5" s="8" t="n">
        <f aca="false">C5/B5*100</f>
        <v>71.4285714285714</v>
      </c>
    </row>
    <row r="6" customFormat="false" ht="15" hidden="false" customHeight="false" outlineLevel="0" collapsed="false">
      <c r="A6" s="9" t="s">
        <v>97</v>
      </c>
      <c r="B6" s="9" t="n">
        <v>20</v>
      </c>
      <c r="C6" s="9" t="n">
        <v>16</v>
      </c>
      <c r="D6" s="9" t="n">
        <v>4</v>
      </c>
      <c r="E6" s="9" t="n">
        <f aca="false">C6/B6*100</f>
        <v>80</v>
      </c>
    </row>
    <row r="7" customFormat="false" ht="15" hidden="false" customHeight="false" outlineLevel="0" collapsed="false">
      <c r="A7" s="8" t="s">
        <v>98</v>
      </c>
      <c r="B7" s="8" t="n">
        <v>16</v>
      </c>
      <c r="C7" s="8" t="n">
        <v>12</v>
      </c>
      <c r="D7" s="8" t="n">
        <v>4</v>
      </c>
      <c r="E7" s="8" t="n">
        <f aca="false">C7/B7*100</f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5"/>
  </cols>
  <sheetData>
    <row r="1" customFormat="false" ht="17.35" hidden="false" customHeight="false" outlineLevel="0" collapsed="false">
      <c r="A1" s="10" t="s">
        <v>99</v>
      </c>
    </row>
    <row r="3" customFormat="false" ht="15" hidden="false" customHeight="false" outlineLevel="0" collapsed="false">
      <c r="A3" s="11" t="s">
        <v>100</v>
      </c>
      <c r="B3" s="11" t="s">
        <v>101</v>
      </c>
    </row>
    <row r="4" customFormat="false" ht="15" hidden="false" customHeight="false" outlineLevel="0" collapsed="false">
      <c r="A4" s="12" t="s">
        <v>102</v>
      </c>
      <c r="B4" s="13" t="s">
        <v>103</v>
      </c>
    </row>
    <row r="5" customFormat="false" ht="15" hidden="false" customHeight="false" outlineLevel="0" collapsed="false">
      <c r="A5" s="12" t="s">
        <v>104</v>
      </c>
      <c r="B5" s="13" t="s">
        <v>105</v>
      </c>
    </row>
    <row r="6" customFormat="false" ht="15" hidden="false" customHeight="false" outlineLevel="0" collapsed="false">
      <c r="A6" s="12" t="s">
        <v>106</v>
      </c>
      <c r="B6" s="13" t="s">
        <v>107</v>
      </c>
    </row>
    <row r="7" customFormat="false" ht="15" hidden="false" customHeight="false" outlineLevel="0" collapsed="false">
      <c r="A7" s="12" t="s">
        <v>108</v>
      </c>
      <c r="B7" s="13" t="s">
        <v>109</v>
      </c>
    </row>
    <row r="9" customFormat="false" ht="15" hidden="false" customHeight="false" outlineLevel="0" collapsed="false">
      <c r="A9" s="14" t="s">
        <v>110</v>
      </c>
    </row>
    <row r="10" customFormat="false" ht="15" hidden="false" customHeight="false" outlineLevel="0" collapsed="false">
      <c r="A10" s="13" t="s">
        <v>111</v>
      </c>
    </row>
    <row r="11" customFormat="false" ht="15" hidden="false" customHeight="false" outlineLevel="0" collapsed="false">
      <c r="A11" s="13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2026-03-15T05:54:57Z</dcterms:created>
  <dc:creator>openpyxl</dc:creator>
  <dc:description/>
  <dc:language>en-US</dc:language>
  <cp:lastModifiedBy/>
  <dcterms:modified xsi:type="dcterms:W3CDTF">2026-03-15T05:54:57Z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